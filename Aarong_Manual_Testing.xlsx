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man\OneDrive\Documents\"/>
    </mc:Choice>
  </mc:AlternateContent>
  <xr:revisionPtr revIDLastSave="0" documentId="8_{3E477A7C-48BF-4048-8DEC-68E2D4C82D63}" xr6:coauthVersionLast="47" xr6:coauthVersionMax="47" xr10:uidLastSave="{00000000-0000-0000-0000-000000000000}"/>
  <bookViews>
    <workbookView xWindow="-108" yWindow="-108" windowWidth="23256" windowHeight="12456" xr2:uid="{7BA6D1AD-0CA5-42E3-8DBE-F39436C6A8B3}"/>
  </bookViews>
  <sheets>
    <sheet name="Test_Plan" sheetId="2" r:id="rId1"/>
    <sheet name="Log In" sheetId="1" r:id="rId2"/>
    <sheet name="Bug_Report" sheetId="3" r:id="rId3"/>
    <sheet name="RTM for Aaro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4" l="1"/>
  <c r="D7" i="4"/>
  <c r="D6" i="4"/>
</calcChain>
</file>

<file path=xl/sharedStrings.xml><?xml version="1.0" encoding="utf-8"?>
<sst xmlns="http://schemas.openxmlformats.org/spreadsheetml/2006/main" count="208" uniqueCount="140">
  <si>
    <t>Feature</t>
  </si>
  <si>
    <t>Aarong Login</t>
  </si>
  <si>
    <t>Test Items</t>
  </si>
  <si>
    <t>Test Description</t>
  </si>
  <si>
    <t>Steps</t>
  </si>
  <si>
    <t>Priority</t>
  </si>
  <si>
    <t>Expected</t>
  </si>
  <si>
    <t>Actual</t>
  </si>
  <si>
    <t>Status</t>
  </si>
  <si>
    <t>Issue Id</t>
  </si>
  <si>
    <r>
      <rPr>
        <b/>
        <sz val="13"/>
        <color theme="1"/>
        <rFont val="Aptos Narrow"/>
        <family val="2"/>
        <scheme val="minor"/>
      </rPr>
      <t>Defect</t>
    </r>
    <r>
      <rPr>
        <sz val="11"/>
        <color theme="1"/>
        <rFont val="Aptos Narrow"/>
        <family val="2"/>
        <scheme val="minor"/>
      </rPr>
      <t xml:space="preserve"> </t>
    </r>
  </si>
  <si>
    <t>Login</t>
  </si>
  <si>
    <t>Email</t>
  </si>
  <si>
    <t>Password</t>
  </si>
  <si>
    <t>Test Case Id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</si>
  <si>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</si>
  <si>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</si>
  <si>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</si>
  <si>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</si>
  <si>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</si>
  <si>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</si>
  <si>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</si>
  <si>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</si>
  <si>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</si>
  <si>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</si>
  <si>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Verify whether email field takes valid input</t>
  </si>
  <si>
    <t>Pass</t>
  </si>
  <si>
    <t>No</t>
  </si>
  <si>
    <t>Verify whether email field takes invalid input</t>
  </si>
  <si>
    <t>Should see a validation message</t>
  </si>
  <si>
    <t>Verify whether password field takes blank input</t>
  </si>
  <si>
    <t>Fail</t>
  </si>
  <si>
    <t>Yes</t>
  </si>
  <si>
    <t>Should be able to enter valid input</t>
  </si>
  <si>
    <t>Verify whether email field takes empty input</t>
  </si>
  <si>
    <t>Verify whether password field takes correct password</t>
  </si>
  <si>
    <t>Verify whether email field takes uppercase input</t>
  </si>
  <si>
    <t>Appeared "Email or password is incorrect"</t>
  </si>
  <si>
    <t>Successfully logged in.</t>
  </si>
  <si>
    <t xml:space="preserve">Should see password visiblity </t>
  </si>
  <si>
    <t>Eye icon is missing</t>
  </si>
  <si>
    <t>Issue_01</t>
  </si>
  <si>
    <t>Issue_02</t>
  </si>
  <si>
    <t>Should be able to enter password and log in</t>
  </si>
  <si>
    <t>User can enter  input</t>
  </si>
  <si>
    <t>Forgot Password</t>
  </si>
  <si>
    <t>Should not allow and see alert message for blank input</t>
  </si>
  <si>
    <t>Allows and doesn't show alert message</t>
  </si>
  <si>
    <t>Mobile Number</t>
  </si>
  <si>
    <t>TC_11</t>
  </si>
  <si>
    <t>TC_12</t>
  </si>
  <si>
    <t>TC_13</t>
  </si>
  <si>
    <t>TC_14</t>
  </si>
  <si>
    <t>OTP</t>
  </si>
  <si>
    <t>TC_15</t>
  </si>
  <si>
    <t>TC_16</t>
  </si>
  <si>
    <t>Google</t>
  </si>
  <si>
    <t>TC_17</t>
  </si>
  <si>
    <t>TC_18</t>
  </si>
  <si>
    <t>Facebook</t>
  </si>
  <si>
    <t>TC_19</t>
  </si>
  <si>
    <t>TC_20</t>
  </si>
  <si>
    <t>1.Go to the browser 2.Enter invalid email address to the email field.</t>
  </si>
  <si>
    <t>https://www.aarong.com/bgd</t>
  </si>
  <si>
    <t>1.Go to the browser 
2.Enter valid email address to the email field.</t>
  </si>
  <si>
    <t xml:space="preserve">1.Go to the browser
2.Take uppercase input 
3.Click to login button </t>
  </si>
  <si>
    <t>1.Go to the browser
2.Click on to login button keeping email field empty</t>
  </si>
  <si>
    <t>Url Link</t>
  </si>
  <si>
    <t>https://www.aarong.com/bgd/customer/account/login</t>
  </si>
  <si>
    <t>1.Go to the browser
2.Input correct password and click on LogIn button</t>
  </si>
  <si>
    <t>1.Go to the browser
2.Input blank spaces in password field and click on LogIn button</t>
  </si>
  <si>
    <t>1.Go to the browser
2.Input password and click on Eye icon.</t>
  </si>
  <si>
    <t>Verify whether clicking on forgot password redirects</t>
  </si>
  <si>
    <t>1.Go to the browser
2.Click on Forgot password.</t>
  </si>
  <si>
    <t>Should redirect to the page for registered Email address</t>
  </si>
  <si>
    <t>Asks registerder email address for Reset password</t>
  </si>
  <si>
    <t>1.Go to the browser
2.Enter email address and click on submit option.</t>
  </si>
  <si>
    <t>As expected</t>
  </si>
  <si>
    <t>Verify whether "Reset token has been sent on email address" notifies the user.</t>
  </si>
  <si>
    <t xml:space="preserve">Should see New &gt;Confirm password field but Reset Password Token is confusing for the user </t>
  </si>
  <si>
    <t>Should ask for New&gt;Confirm password and autofill the Reset token</t>
  </si>
  <si>
    <t>Verify whether reset password token autofill the field</t>
  </si>
  <si>
    <t>Issue_03</t>
  </si>
  <si>
    <t>Reset token appear on the given registered email address immediately</t>
  </si>
  <si>
    <t>It takes almost 3-4mins to get the notification</t>
  </si>
  <si>
    <t>Issue_04</t>
  </si>
  <si>
    <t>Verify whether the length is 11 digit for BD users</t>
  </si>
  <si>
    <t>Verify whether the field takes special characters</t>
  </si>
  <si>
    <t>Verify whether the field takes valid phone number</t>
  </si>
  <si>
    <t>1.Go to the browser
2.Enter valid phone number and click on LogIn option.</t>
  </si>
  <si>
    <t>1.Go to the browser
2.Enter special characcters and alphabets on phone number and click on LogIn option.</t>
  </si>
  <si>
    <t>1.Go to the browser
2.Enter a random 11digit phone number and click on LogIn option.</t>
  </si>
  <si>
    <t xml:space="preserve">Should accept the number and redirect for OTP </t>
  </si>
  <si>
    <t>Should not accept more than 11digits</t>
  </si>
  <si>
    <t>1.Go to the browser
2.Enter phone number more than 11digit and click on LogIn option.</t>
  </si>
  <si>
    <t>The field accepts more than 11digits</t>
  </si>
  <si>
    <t>Should not accept special characters or alphabets</t>
  </si>
  <si>
    <t xml:space="preserve">The field accepts </t>
  </si>
  <si>
    <t>The field should show an error message</t>
  </si>
  <si>
    <t>Appears "You are not a registered customer"</t>
  </si>
  <si>
    <t>Issue_05</t>
  </si>
  <si>
    <t>Issue_06</t>
  </si>
  <si>
    <t>Verify whether the field takes correct OTP</t>
  </si>
  <si>
    <t>Verify whether the field takes incorrect OTP</t>
  </si>
  <si>
    <t>Verify whether the field has "Didn't receive OTP" option</t>
  </si>
  <si>
    <t>TC_21</t>
  </si>
  <si>
    <t>1.Go to the browser
2.Enter phone number and click on LogIn option
3.Enter correct OTP and click on LogIn button</t>
  </si>
  <si>
    <t>1.Go to the browser
2.Enter phone number and click on LogIn option
3.Enter incorrect OTP and click on LogIn button</t>
  </si>
  <si>
    <t>1.Go to the browser
2.Enter phone number and click on LogIn option
3.Click on "Didn't receive OTP"</t>
  </si>
  <si>
    <t>Should accept OTP and let LogIn</t>
  </si>
  <si>
    <t>Should show "Invalid OTP"</t>
  </si>
  <si>
    <t>Should see an option as "Didn't receive OTP?"</t>
  </si>
  <si>
    <t xml:space="preserve">Verify whether user can choose an account </t>
  </si>
  <si>
    <t>Verify whether user can cancel LogIn</t>
  </si>
  <si>
    <t>1.Go to the browser
2.Click on the button"Google"</t>
  </si>
  <si>
    <t>1.Go to the browser
2.Choose the account
3.Click on "Cancel"</t>
  </si>
  <si>
    <t>1.Go to the browser
2.Click on the button"Facebook"</t>
  </si>
  <si>
    <t>Should see option to choose account</t>
  </si>
  <si>
    <t>Should see cancel option</t>
  </si>
  <si>
    <t>High</t>
  </si>
  <si>
    <t>Medium</t>
  </si>
  <si>
    <t>Verify whether password fields visibility  can be adjusted</t>
  </si>
  <si>
    <t>Verify whether the number is  registered  or unregistered</t>
  </si>
  <si>
    <t xml:space="preserve">RTM for Aarong </t>
  </si>
  <si>
    <t>Sl:</t>
  </si>
  <si>
    <t>Metrics</t>
  </si>
  <si>
    <t>Descrition</t>
  </si>
  <si>
    <t>Result</t>
  </si>
  <si>
    <t>Percentage of Test case Executed</t>
  </si>
  <si>
    <t>Percentage of Test case Not Executed</t>
  </si>
  <si>
    <t>Percentage of Test case Passed</t>
  </si>
  <si>
    <t>Percentage of Test case Failed</t>
  </si>
  <si>
    <t>Percentage of Test case Blocked</t>
  </si>
  <si>
    <t>(No. of Test Cases Executed / Total no. of Test Cases Written) * 100</t>
  </si>
  <si>
    <t>(No. of Test Cases not Executed / Total no. of Test Cases Written) * 100</t>
  </si>
  <si>
    <t>(No. of Test Cases Passed / Total no. of Test Cases Executed) * 100</t>
  </si>
  <si>
    <t>(No. of Test Cases Failed / Total no. of Test Cases Executed) * 100</t>
  </si>
  <si>
    <t>(No. of Test Cases Blocked / Total no. of Test Cases Executed) * 100</t>
  </si>
  <si>
    <t>Jira Link</t>
  </si>
  <si>
    <t>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</si>
</sst>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3" tint="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7" fillId="0" borderId="0" xfId="1" applyFont="1" applyAlignment="1">
      <alignment vertical="top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/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9" fillId="0" borderId="0" xfId="0" applyFont="1"/>
    <xf numFmtId="0" fontId="10" fillId="0" borderId="0" xfId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8</xdr:row>
      <xdr:rowOff>129540</xdr:rowOff>
    </xdr:from>
    <xdr:to>
      <xdr:col>9</xdr:col>
      <xdr:colOff>473675</xdr:colOff>
      <xdr:row>24</xdr:row>
      <xdr:rowOff>13999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4D5631-5880-424B-9990-1064CCE02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1592580"/>
          <a:ext cx="5716235" cy="2819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30479</xdr:colOff>
      <xdr:row>5</xdr:row>
      <xdr:rowOff>83822</xdr:rowOff>
    </xdr:from>
    <xdr:to>
      <xdr:col>17</xdr:col>
      <xdr:colOff>289560</xdr:colOff>
      <xdr:row>17</xdr:row>
      <xdr:rowOff>62716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8978F9-B518-4243-4962-2C3A6B49B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6479" y="998222"/>
          <a:ext cx="4526281" cy="2182315"/>
        </a:xfrm>
        <a:prstGeom prst="rect">
          <a:avLst/>
        </a:prstGeom>
      </xdr:spPr>
    </xdr:pic>
    <xdr:clientData/>
  </xdr:twoCellAnchor>
  <xdr:twoCellAnchor editAs="oneCell">
    <xdr:from>
      <xdr:col>10</xdr:col>
      <xdr:colOff>177211</xdr:colOff>
      <xdr:row>18</xdr:row>
      <xdr:rowOff>8860</xdr:rowOff>
    </xdr:from>
    <xdr:to>
      <xdr:col>17</xdr:col>
      <xdr:colOff>451530</xdr:colOff>
      <xdr:row>31</xdr:row>
      <xdr:rowOff>77818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C69A40-4A60-3D7F-BE00-87290EDFC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0932" y="3358116"/>
          <a:ext cx="4553924" cy="2487865"/>
        </a:xfrm>
        <a:prstGeom prst="rect">
          <a:avLst/>
        </a:prstGeom>
      </xdr:spPr>
    </xdr:pic>
    <xdr:clientData/>
  </xdr:twoCellAnchor>
  <xdr:twoCellAnchor editAs="oneCell">
    <xdr:from>
      <xdr:col>10</xdr:col>
      <xdr:colOff>34912</xdr:colOff>
      <xdr:row>31</xdr:row>
      <xdr:rowOff>77440</xdr:rowOff>
    </xdr:from>
    <xdr:to>
      <xdr:col>16</xdr:col>
      <xdr:colOff>166222</xdr:colOff>
      <xdr:row>38</xdr:row>
      <xdr:rowOff>134142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6FF6239-0CA5-9762-E3B6-F9B3D65A2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8633" y="5845603"/>
          <a:ext cx="3799542" cy="1359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15241</xdr:rowOff>
    </xdr:from>
    <xdr:to>
      <xdr:col>7</xdr:col>
      <xdr:colOff>598994</xdr:colOff>
      <xdr:row>19</xdr:row>
      <xdr:rowOff>121921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166C14-8B3D-F875-5331-3DDB8AB6D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381001"/>
          <a:ext cx="4256593" cy="3383280"/>
        </a:xfrm>
        <a:prstGeom prst="rect">
          <a:avLst/>
        </a:prstGeom>
      </xdr:spPr>
    </xdr:pic>
    <xdr:clientData/>
  </xdr:twoCellAnchor>
  <xdr:twoCellAnchor editAs="oneCell">
    <xdr:from>
      <xdr:col>8</xdr:col>
      <xdr:colOff>403860</xdr:colOff>
      <xdr:row>1</xdr:row>
      <xdr:rowOff>68581</xdr:rowOff>
    </xdr:from>
    <xdr:to>
      <xdr:col>15</xdr:col>
      <xdr:colOff>427671</xdr:colOff>
      <xdr:row>20</xdr:row>
      <xdr:rowOff>60960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1DC024-7E72-BCF1-63E1-570C93FC3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0660" y="251461"/>
          <a:ext cx="4291011" cy="36347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arong.com/bgd/customer/account/login" TargetMode="External"/><Relationship Id="rId3" Type="http://schemas.openxmlformats.org/officeDocument/2006/relationships/hyperlink" Target="https://www.aarong.com/bgd" TargetMode="External"/><Relationship Id="rId7" Type="http://schemas.openxmlformats.org/officeDocument/2006/relationships/hyperlink" Target="https://www.aarong.com/bgd/customer/account/login" TargetMode="External"/><Relationship Id="rId12" Type="http://schemas.openxmlformats.org/officeDocument/2006/relationships/hyperlink" Target="https://www.aarong.com/bgd/customer/account/login" TargetMode="External"/><Relationship Id="rId2" Type="http://schemas.openxmlformats.org/officeDocument/2006/relationships/hyperlink" Target="https://www.aarong.com/bgd" TargetMode="External"/><Relationship Id="rId1" Type="http://schemas.openxmlformats.org/officeDocument/2006/relationships/hyperlink" Target="https://www.aarong.com/bgd" TargetMode="External"/><Relationship Id="rId6" Type="http://schemas.openxmlformats.org/officeDocument/2006/relationships/hyperlink" Target="https://www.aarong.com/bgd/customer/account/login" TargetMode="External"/><Relationship Id="rId11" Type="http://schemas.openxmlformats.org/officeDocument/2006/relationships/hyperlink" Target="https://www.aarong.com/bgd/customer/account/login" TargetMode="External"/><Relationship Id="rId5" Type="http://schemas.openxmlformats.org/officeDocument/2006/relationships/hyperlink" Target="https://www.aarong.com/bgd/customer/account/login" TargetMode="External"/><Relationship Id="rId10" Type="http://schemas.openxmlformats.org/officeDocument/2006/relationships/hyperlink" Target="https://www.aarong.com/bgd/customer/account/login" TargetMode="External"/><Relationship Id="rId4" Type="http://schemas.openxmlformats.org/officeDocument/2006/relationships/hyperlink" Target="https://www.aarong.com/bgd" TargetMode="External"/><Relationship Id="rId9" Type="http://schemas.openxmlformats.org/officeDocument/2006/relationships/hyperlink" Target="https://www.aarong.com/bgd/customer/account/logi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amannurshoily495-1790572388519.atlassian.net/browse/AT-12?atlOrigin=eyJpIjoiZGUwOTVjNjc1OGQwNDg5ZWJkNDU2OTA3ZjhjOWFiODE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5810-E803-456C-B6C4-5CE7EDDADA1E}">
  <dimension ref="S12:T14"/>
  <sheetViews>
    <sheetView tabSelected="1" topLeftCell="A13" zoomScale="86" workbookViewId="0">
      <selection activeCell="F41" sqref="F41"/>
    </sheetView>
  </sheetViews>
  <sheetFormatPr defaultRowHeight="14.4" x14ac:dyDescent="0.3"/>
  <cols>
    <col min="19" max="19" width="8.88671875" customWidth="1"/>
    <col min="20" max="20" width="15.21875" customWidth="1"/>
  </cols>
  <sheetData>
    <row r="12" spans="19:20" ht="15.6" customHeight="1" x14ac:dyDescent="0.3">
      <c r="S12" s="20"/>
      <c r="T12" s="19"/>
    </row>
    <row r="13" spans="19:20" ht="14.4" customHeight="1" x14ac:dyDescent="0.3">
      <c r="S13" s="20"/>
      <c r="T13" s="19"/>
    </row>
    <row r="14" spans="19:20" ht="14.4" customHeight="1" x14ac:dyDescent="0.3">
      <c r="S14" s="2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EF44-94E4-48FE-AA07-FDA9A6A0F6DF}">
  <dimension ref="A1:M24"/>
  <sheetViews>
    <sheetView topLeftCell="A7" zoomScale="103" zoomScaleNormal="100" workbookViewId="0">
      <selection activeCell="H10" sqref="H10"/>
    </sheetView>
  </sheetViews>
  <sheetFormatPr defaultRowHeight="14.4" x14ac:dyDescent="0.3"/>
  <cols>
    <col min="1" max="1" width="11.5546875" customWidth="1"/>
    <col min="2" max="2" width="13.44140625" customWidth="1"/>
    <col min="3" max="3" width="14.44140625" customWidth="1"/>
    <col min="4" max="4" width="18.44140625" customWidth="1"/>
    <col min="5" max="6" width="18.5546875" customWidth="1"/>
    <col min="7" max="7" width="13.77734375" customWidth="1"/>
    <col min="8" max="8" width="14.5546875" customWidth="1"/>
    <col min="9" max="9" width="14.33203125" customWidth="1"/>
    <col min="10" max="10" width="12.6640625" customWidth="1"/>
    <col min="11" max="11" width="11.88671875" customWidth="1"/>
    <col min="12" max="12" width="12.6640625" customWidth="1"/>
    <col min="13" max="13" width="10.21875" customWidth="1"/>
  </cols>
  <sheetData>
    <row r="1" spans="1:13" ht="23.4" x14ac:dyDescent="0.45">
      <c r="A1" s="27" t="s">
        <v>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8" x14ac:dyDescent="0.35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7.399999999999999" x14ac:dyDescent="0.35">
      <c r="A3" s="2" t="s">
        <v>0</v>
      </c>
      <c r="B3" s="2" t="s">
        <v>2</v>
      </c>
      <c r="C3" s="2" t="s">
        <v>14</v>
      </c>
      <c r="D3" s="2" t="s">
        <v>3</v>
      </c>
      <c r="E3" s="12" t="s">
        <v>4</v>
      </c>
      <c r="F3" s="12" t="s">
        <v>67</v>
      </c>
      <c r="G3" s="12" t="s">
        <v>5</v>
      </c>
      <c r="H3" s="12" t="s">
        <v>6</v>
      </c>
      <c r="I3" s="13" t="s">
        <v>7</v>
      </c>
      <c r="J3" s="13" t="s">
        <v>8</v>
      </c>
      <c r="K3" s="1" t="s">
        <v>10</v>
      </c>
      <c r="L3" s="13" t="s">
        <v>9</v>
      </c>
      <c r="M3" s="2"/>
    </row>
    <row r="4" spans="1:13" ht="121.2" customHeight="1" x14ac:dyDescent="0.3">
      <c r="A4" s="28" t="s">
        <v>11</v>
      </c>
      <c r="B4" s="28" t="s">
        <v>12</v>
      </c>
      <c r="C4" s="5" t="s">
        <v>15</v>
      </c>
      <c r="D4" s="6" t="s">
        <v>25</v>
      </c>
      <c r="E4" s="7" t="s">
        <v>64</v>
      </c>
      <c r="F4" s="15" t="s">
        <v>63</v>
      </c>
      <c r="H4" s="11" t="s">
        <v>33</v>
      </c>
      <c r="I4" s="11" t="s">
        <v>44</v>
      </c>
      <c r="J4" s="16" t="s">
        <v>26</v>
      </c>
      <c r="K4" s="4" t="s">
        <v>27</v>
      </c>
      <c r="L4" s="4">
        <v>0</v>
      </c>
    </row>
    <row r="5" spans="1:13" ht="76.8" customHeight="1" x14ac:dyDescent="0.3">
      <c r="A5" s="28"/>
      <c r="B5" s="28"/>
      <c r="C5" s="5" t="s">
        <v>16</v>
      </c>
      <c r="D5" s="6" t="s">
        <v>28</v>
      </c>
      <c r="E5" s="8" t="s">
        <v>62</v>
      </c>
      <c r="F5" s="9" t="s">
        <v>63</v>
      </c>
      <c r="G5" s="1"/>
      <c r="H5" s="11" t="s">
        <v>29</v>
      </c>
      <c r="I5" s="11" t="s">
        <v>37</v>
      </c>
      <c r="J5" s="16" t="s">
        <v>26</v>
      </c>
      <c r="K5" s="10" t="s">
        <v>27</v>
      </c>
      <c r="L5" s="4">
        <v>0</v>
      </c>
    </row>
    <row r="6" spans="1:13" ht="67.2" customHeight="1" x14ac:dyDescent="0.3">
      <c r="A6" s="28"/>
      <c r="B6" s="28"/>
      <c r="C6" s="5" t="s">
        <v>17</v>
      </c>
      <c r="D6" s="6" t="s">
        <v>34</v>
      </c>
      <c r="E6" s="8" t="s">
        <v>66</v>
      </c>
      <c r="F6" s="9" t="s">
        <v>63</v>
      </c>
      <c r="G6" s="1"/>
      <c r="H6" s="11" t="s">
        <v>29</v>
      </c>
      <c r="I6" s="11" t="s">
        <v>37</v>
      </c>
      <c r="J6" s="16" t="s">
        <v>26</v>
      </c>
      <c r="K6" s="10" t="s">
        <v>27</v>
      </c>
      <c r="L6" s="4">
        <v>0</v>
      </c>
    </row>
    <row r="7" spans="1:13" ht="83.4" customHeight="1" x14ac:dyDescent="0.3">
      <c r="A7" s="28"/>
      <c r="B7" s="28"/>
      <c r="C7" s="5" t="s">
        <v>18</v>
      </c>
      <c r="D7" s="6" t="s">
        <v>36</v>
      </c>
      <c r="E7" s="8" t="s">
        <v>65</v>
      </c>
      <c r="F7" s="9" t="s">
        <v>63</v>
      </c>
      <c r="G7" s="1"/>
      <c r="H7" s="11" t="s">
        <v>29</v>
      </c>
      <c r="I7" s="11" t="s">
        <v>37</v>
      </c>
      <c r="J7" s="16" t="s">
        <v>26</v>
      </c>
      <c r="K7" s="10" t="s">
        <v>27</v>
      </c>
      <c r="L7" s="4">
        <v>0</v>
      </c>
    </row>
    <row r="8" spans="1:13" ht="100.8" customHeight="1" x14ac:dyDescent="0.3">
      <c r="A8" s="28"/>
      <c r="B8" s="28" t="s">
        <v>13</v>
      </c>
      <c r="C8" s="5" t="s">
        <v>19</v>
      </c>
      <c r="D8" s="8" t="s">
        <v>35</v>
      </c>
      <c r="E8" s="8" t="s">
        <v>69</v>
      </c>
      <c r="F8" s="9" t="s">
        <v>68</v>
      </c>
      <c r="H8" s="11" t="s">
        <v>43</v>
      </c>
      <c r="I8" s="11" t="s">
        <v>38</v>
      </c>
      <c r="J8" s="16" t="s">
        <v>26</v>
      </c>
      <c r="K8" s="4" t="s">
        <v>27</v>
      </c>
      <c r="L8" s="4">
        <v>0</v>
      </c>
    </row>
    <row r="9" spans="1:13" ht="100.2" customHeight="1" x14ac:dyDescent="0.3">
      <c r="A9" s="28"/>
      <c r="B9" s="28"/>
      <c r="C9" s="5" t="s">
        <v>20</v>
      </c>
      <c r="D9" s="8" t="s">
        <v>30</v>
      </c>
      <c r="E9" s="8" t="s">
        <v>70</v>
      </c>
      <c r="F9" s="9" t="s">
        <v>68</v>
      </c>
      <c r="G9" s="4" t="s">
        <v>119</v>
      </c>
      <c r="H9" s="11" t="s">
        <v>46</v>
      </c>
      <c r="I9" s="11" t="s">
        <v>47</v>
      </c>
      <c r="J9" s="17" t="s">
        <v>31</v>
      </c>
      <c r="K9" s="4" t="s">
        <v>32</v>
      </c>
      <c r="L9" s="4" t="s">
        <v>41</v>
      </c>
    </row>
    <row r="10" spans="1:13" ht="85.8" customHeight="1" x14ac:dyDescent="0.3">
      <c r="A10" s="28"/>
      <c r="B10" s="28"/>
      <c r="C10" s="5" t="s">
        <v>21</v>
      </c>
      <c r="D10" s="8" t="s">
        <v>121</v>
      </c>
      <c r="E10" s="7" t="s">
        <v>71</v>
      </c>
      <c r="F10" s="9" t="s">
        <v>68</v>
      </c>
      <c r="G10" s="4" t="s">
        <v>119</v>
      </c>
      <c r="H10" s="11" t="s">
        <v>39</v>
      </c>
      <c r="I10" s="11" t="s">
        <v>40</v>
      </c>
      <c r="J10" s="17" t="s">
        <v>31</v>
      </c>
      <c r="K10" s="4" t="s">
        <v>32</v>
      </c>
      <c r="L10" s="4" t="s">
        <v>42</v>
      </c>
    </row>
    <row r="11" spans="1:13" ht="82.8" customHeight="1" x14ac:dyDescent="0.3">
      <c r="B11" s="29" t="s">
        <v>45</v>
      </c>
      <c r="C11" s="5" t="s">
        <v>22</v>
      </c>
      <c r="D11" s="8" t="s">
        <v>72</v>
      </c>
      <c r="E11" s="8" t="s">
        <v>73</v>
      </c>
      <c r="F11" s="30" t="s">
        <v>68</v>
      </c>
      <c r="H11" s="11" t="s">
        <v>74</v>
      </c>
      <c r="I11" s="11" t="s">
        <v>75</v>
      </c>
      <c r="J11" s="16" t="s">
        <v>26</v>
      </c>
      <c r="K11" s="4" t="s">
        <v>27</v>
      </c>
      <c r="L11" s="4">
        <v>0</v>
      </c>
    </row>
    <row r="12" spans="1:13" ht="108" customHeight="1" x14ac:dyDescent="0.3">
      <c r="B12" s="29"/>
      <c r="C12" s="5" t="s">
        <v>23</v>
      </c>
      <c r="D12" s="8" t="s">
        <v>81</v>
      </c>
      <c r="E12" s="29" t="s">
        <v>76</v>
      </c>
      <c r="F12" s="30"/>
      <c r="G12" s="4" t="s">
        <v>120</v>
      </c>
      <c r="H12" s="11" t="s">
        <v>80</v>
      </c>
      <c r="I12" s="11" t="s">
        <v>79</v>
      </c>
      <c r="J12" s="17" t="s">
        <v>31</v>
      </c>
      <c r="K12" s="4" t="s">
        <v>32</v>
      </c>
      <c r="L12" s="4" t="s">
        <v>82</v>
      </c>
    </row>
    <row r="13" spans="1:13" ht="80.400000000000006" customHeight="1" x14ac:dyDescent="0.3">
      <c r="B13" s="29"/>
      <c r="C13" s="5" t="s">
        <v>24</v>
      </c>
      <c r="D13" s="8" t="s">
        <v>78</v>
      </c>
      <c r="E13" s="29"/>
      <c r="F13" s="30"/>
      <c r="G13" s="4" t="s">
        <v>119</v>
      </c>
      <c r="H13" s="11" t="s">
        <v>83</v>
      </c>
      <c r="I13" s="11" t="s">
        <v>84</v>
      </c>
      <c r="J13" s="17" t="s">
        <v>31</v>
      </c>
      <c r="K13" s="4" t="s">
        <v>32</v>
      </c>
      <c r="L13" s="4" t="s">
        <v>85</v>
      </c>
    </row>
    <row r="14" spans="1:13" ht="72.599999999999994" customHeight="1" x14ac:dyDescent="0.3">
      <c r="B14" s="29" t="s">
        <v>48</v>
      </c>
      <c r="C14" s="5" t="s">
        <v>49</v>
      </c>
      <c r="D14" s="8" t="s">
        <v>88</v>
      </c>
      <c r="E14" s="7" t="s">
        <v>89</v>
      </c>
      <c r="F14" s="30" t="s">
        <v>68</v>
      </c>
      <c r="H14" s="11" t="s">
        <v>92</v>
      </c>
      <c r="I14" s="11" t="s">
        <v>77</v>
      </c>
      <c r="J14" s="16" t="s">
        <v>26</v>
      </c>
      <c r="K14" s="4" t="s">
        <v>27</v>
      </c>
      <c r="L14" s="4">
        <v>0</v>
      </c>
    </row>
    <row r="15" spans="1:13" ht="82.2" customHeight="1" x14ac:dyDescent="0.3">
      <c r="B15" s="29"/>
      <c r="C15" s="5" t="s">
        <v>50</v>
      </c>
      <c r="D15" s="8" t="s">
        <v>86</v>
      </c>
      <c r="E15" s="7" t="s">
        <v>94</v>
      </c>
      <c r="F15" s="30"/>
      <c r="G15" s="4" t="s">
        <v>119</v>
      </c>
      <c r="H15" s="11" t="s">
        <v>93</v>
      </c>
      <c r="I15" s="11" t="s">
        <v>95</v>
      </c>
      <c r="J15" s="17" t="s">
        <v>31</v>
      </c>
      <c r="K15" s="4" t="s">
        <v>32</v>
      </c>
      <c r="L15" s="4" t="s">
        <v>100</v>
      </c>
    </row>
    <row r="16" spans="1:13" ht="100.8" customHeight="1" x14ac:dyDescent="0.3">
      <c r="B16" s="29"/>
      <c r="C16" s="5" t="s">
        <v>51</v>
      </c>
      <c r="D16" s="8" t="s">
        <v>87</v>
      </c>
      <c r="E16" s="8" t="s">
        <v>90</v>
      </c>
      <c r="F16" s="30"/>
      <c r="G16" s="4" t="s">
        <v>119</v>
      </c>
      <c r="H16" s="11" t="s">
        <v>96</v>
      </c>
      <c r="I16" s="11" t="s">
        <v>97</v>
      </c>
      <c r="J16" s="17" t="s">
        <v>31</v>
      </c>
      <c r="K16" s="4" t="s">
        <v>32</v>
      </c>
      <c r="L16" s="4" t="s">
        <v>101</v>
      </c>
    </row>
    <row r="17" spans="2:12" ht="92.4" customHeight="1" x14ac:dyDescent="0.3">
      <c r="B17" s="29"/>
      <c r="C17" s="5" t="s">
        <v>52</v>
      </c>
      <c r="D17" s="8" t="s">
        <v>122</v>
      </c>
      <c r="E17" s="8" t="s">
        <v>91</v>
      </c>
      <c r="F17" s="30"/>
      <c r="H17" s="11" t="s">
        <v>98</v>
      </c>
      <c r="I17" s="11" t="s">
        <v>99</v>
      </c>
      <c r="J17" s="16" t="s">
        <v>26</v>
      </c>
      <c r="K17" s="4" t="s">
        <v>27</v>
      </c>
      <c r="L17" s="4">
        <v>0</v>
      </c>
    </row>
    <row r="18" spans="2:12" ht="100.8" x14ac:dyDescent="0.3">
      <c r="B18" s="28" t="s">
        <v>53</v>
      </c>
      <c r="C18" s="5" t="s">
        <v>54</v>
      </c>
      <c r="D18" s="8" t="s">
        <v>102</v>
      </c>
      <c r="E18" s="14" t="s">
        <v>106</v>
      </c>
      <c r="F18" s="30" t="s">
        <v>68</v>
      </c>
      <c r="H18" s="11" t="s">
        <v>109</v>
      </c>
      <c r="I18" s="11" t="s">
        <v>77</v>
      </c>
      <c r="J18" s="16" t="s">
        <v>26</v>
      </c>
      <c r="K18" s="4" t="s">
        <v>27</v>
      </c>
      <c r="L18" s="4">
        <v>0</v>
      </c>
    </row>
    <row r="19" spans="2:12" ht="100.8" x14ac:dyDescent="0.3">
      <c r="B19" s="28"/>
      <c r="C19" s="5" t="s">
        <v>55</v>
      </c>
      <c r="D19" s="8" t="s">
        <v>103</v>
      </c>
      <c r="E19" s="14" t="s">
        <v>107</v>
      </c>
      <c r="F19" s="30"/>
      <c r="H19" s="11" t="s">
        <v>110</v>
      </c>
      <c r="I19" s="11" t="s">
        <v>77</v>
      </c>
      <c r="J19" s="16" t="s">
        <v>26</v>
      </c>
      <c r="K19" s="4" t="s">
        <v>27</v>
      </c>
      <c r="L19" s="4">
        <v>0</v>
      </c>
    </row>
    <row r="20" spans="2:12" ht="93" customHeight="1" x14ac:dyDescent="0.3">
      <c r="B20" s="28"/>
      <c r="C20" s="5" t="s">
        <v>57</v>
      </c>
      <c r="D20" s="8" t="s">
        <v>104</v>
      </c>
      <c r="E20" s="8" t="s">
        <v>108</v>
      </c>
      <c r="F20" s="30"/>
      <c r="H20" s="11" t="s">
        <v>111</v>
      </c>
      <c r="I20" s="11" t="s">
        <v>77</v>
      </c>
      <c r="J20" s="16" t="s">
        <v>26</v>
      </c>
      <c r="K20" s="4" t="s">
        <v>27</v>
      </c>
      <c r="L20" s="4">
        <v>0</v>
      </c>
    </row>
    <row r="21" spans="2:12" ht="70.2" customHeight="1" x14ac:dyDescent="0.3">
      <c r="B21" s="28" t="s">
        <v>56</v>
      </c>
      <c r="C21" s="5" t="s">
        <v>58</v>
      </c>
      <c r="D21" s="8" t="s">
        <v>112</v>
      </c>
      <c r="E21" s="8" t="s">
        <v>114</v>
      </c>
      <c r="F21" s="31" t="s">
        <v>68</v>
      </c>
      <c r="H21" s="11" t="s">
        <v>117</v>
      </c>
      <c r="I21" s="11" t="s">
        <v>77</v>
      </c>
      <c r="J21" s="16" t="s">
        <v>26</v>
      </c>
      <c r="K21" s="4" t="s">
        <v>27</v>
      </c>
      <c r="L21" s="4">
        <v>0</v>
      </c>
    </row>
    <row r="22" spans="2:12" ht="70.2" customHeight="1" x14ac:dyDescent="0.3">
      <c r="B22" s="28"/>
      <c r="C22" s="5" t="s">
        <v>60</v>
      </c>
      <c r="D22" s="8" t="s">
        <v>113</v>
      </c>
      <c r="E22" s="8" t="s">
        <v>115</v>
      </c>
      <c r="F22" s="31"/>
      <c r="H22" s="11" t="s">
        <v>118</v>
      </c>
      <c r="I22" s="11" t="s">
        <v>77</v>
      </c>
      <c r="J22" s="16" t="s">
        <v>26</v>
      </c>
      <c r="K22" s="4" t="s">
        <v>27</v>
      </c>
      <c r="L22" s="4">
        <v>0</v>
      </c>
    </row>
    <row r="23" spans="2:12" ht="58.8" customHeight="1" x14ac:dyDescent="0.3">
      <c r="B23" s="28" t="s">
        <v>59</v>
      </c>
      <c r="C23" s="5" t="s">
        <v>61</v>
      </c>
      <c r="D23" s="8" t="s">
        <v>112</v>
      </c>
      <c r="E23" s="7" t="s">
        <v>116</v>
      </c>
      <c r="F23" s="30" t="s">
        <v>68</v>
      </c>
      <c r="H23" s="11" t="s">
        <v>117</v>
      </c>
      <c r="I23" s="11" t="s">
        <v>77</v>
      </c>
      <c r="J23" s="16" t="s">
        <v>26</v>
      </c>
      <c r="K23" s="4" t="s">
        <v>27</v>
      </c>
      <c r="L23" s="4">
        <v>0</v>
      </c>
    </row>
    <row r="24" spans="2:12" ht="67.8" customHeight="1" x14ac:dyDescent="0.3">
      <c r="B24" s="28"/>
      <c r="C24" s="5" t="s">
        <v>105</v>
      </c>
      <c r="D24" s="8" t="s">
        <v>113</v>
      </c>
      <c r="E24" s="8" t="s">
        <v>115</v>
      </c>
      <c r="F24" s="30"/>
      <c r="H24" s="11" t="s">
        <v>118</v>
      </c>
      <c r="I24" s="11" t="s">
        <v>77</v>
      </c>
      <c r="J24" s="16" t="s">
        <v>26</v>
      </c>
      <c r="K24" s="4" t="s">
        <v>27</v>
      </c>
      <c r="L24" s="4">
        <v>0</v>
      </c>
    </row>
  </sheetData>
  <mergeCells count="15">
    <mergeCell ref="F14:F17"/>
    <mergeCell ref="B18:B20"/>
    <mergeCell ref="F18:F20"/>
    <mergeCell ref="F21:F22"/>
    <mergeCell ref="F23:F24"/>
    <mergeCell ref="B14:B17"/>
    <mergeCell ref="B21:B22"/>
    <mergeCell ref="B23:B24"/>
    <mergeCell ref="A1:M1"/>
    <mergeCell ref="B4:B7"/>
    <mergeCell ref="B8:B10"/>
    <mergeCell ref="A4:A10"/>
    <mergeCell ref="E12:E13"/>
    <mergeCell ref="F11:F13"/>
    <mergeCell ref="B11:B13"/>
  </mergeCells>
  <phoneticPr fontId="5" type="noConversion"/>
  <hyperlinks>
    <hyperlink ref="F4" r:id="rId1" xr:uid="{4F9348C6-40BC-4E64-9358-19B7AD036C80}"/>
    <hyperlink ref="F7" r:id="rId2" xr:uid="{E61DA225-9A20-4E01-8102-A047D4E27E94}"/>
    <hyperlink ref="F5" r:id="rId3" xr:uid="{F42EBF94-7199-490B-9C88-3B8603EA1FE0}"/>
    <hyperlink ref="F6" r:id="rId4" xr:uid="{D4FF8888-1662-4F72-A955-2C863F3F5AE3}"/>
    <hyperlink ref="F8" r:id="rId5" xr:uid="{CCEB1147-9C6D-475E-B75F-EE5F883CB2C4}"/>
    <hyperlink ref="F9" r:id="rId6" xr:uid="{E90CFB4F-5EFA-4B52-B2B4-F63B899E3E48}"/>
    <hyperlink ref="F10" r:id="rId7" xr:uid="{3E6341F9-37B5-4FE9-BAAD-432193CBEE42}"/>
    <hyperlink ref="F11" r:id="rId8" xr:uid="{587673A8-8E37-4D72-974B-2BEAC63002A3}"/>
    <hyperlink ref="F14" r:id="rId9" xr:uid="{0C2674F8-DD02-4111-860D-316462A6B904}"/>
    <hyperlink ref="F18" r:id="rId10" xr:uid="{06246C76-E42F-46BE-8D37-58A21B982ACF}"/>
    <hyperlink ref="F21" r:id="rId11" xr:uid="{B9E7CAF7-AA55-4E42-9181-4AB74FAFA13A}"/>
    <hyperlink ref="F23" r:id="rId12" xr:uid="{FB2350C7-6BE9-49BB-8D3E-2EDC6DE8FA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3125-56DA-4A1A-B5B4-20005787AC7E}">
  <dimension ref="Q4:Q5"/>
  <sheetViews>
    <sheetView workbookViewId="0">
      <selection activeCell="M23" sqref="M23"/>
    </sheetView>
  </sheetViews>
  <sheetFormatPr defaultRowHeight="14.4" x14ac:dyDescent="0.3"/>
  <cols>
    <col min="17" max="17" width="12.5546875" customWidth="1"/>
  </cols>
  <sheetData>
    <row r="4" spans="17:17" ht="21" x14ac:dyDescent="0.4">
      <c r="Q4" s="32" t="s">
        <v>138</v>
      </c>
    </row>
    <row r="5" spans="17:17" ht="21" x14ac:dyDescent="0.3">
      <c r="Q5" s="33" t="s">
        <v>139</v>
      </c>
    </row>
  </sheetData>
  <hyperlinks>
    <hyperlink ref="Q5" r:id="rId1" xr:uid="{4691CB10-4813-47B7-B92B-178200CCFEEB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40CC-5D7C-4B80-867A-0CA37488FC19}">
  <dimension ref="A1:D8"/>
  <sheetViews>
    <sheetView workbookViewId="0">
      <selection activeCell="C9" sqref="C9"/>
    </sheetView>
  </sheetViews>
  <sheetFormatPr defaultRowHeight="14.4" x14ac:dyDescent="0.3"/>
  <cols>
    <col min="2" max="2" width="31" customWidth="1"/>
    <col min="3" max="3" width="56.6640625" customWidth="1"/>
    <col min="4" max="4" width="17.6640625" customWidth="1"/>
  </cols>
  <sheetData>
    <row r="1" spans="1:4" ht="18" customHeight="1" x14ac:dyDescent="0.3">
      <c r="A1" s="26" t="s">
        <v>123</v>
      </c>
      <c r="B1" s="26"/>
      <c r="C1" s="26"/>
      <c r="D1" s="26"/>
    </row>
    <row r="2" spans="1:4" x14ac:dyDescent="0.3">
      <c r="A2" s="26"/>
      <c r="B2" s="26"/>
      <c r="C2" s="26"/>
      <c r="D2" s="26"/>
    </row>
    <row r="3" spans="1:4" ht="21" customHeight="1" x14ac:dyDescent="0.35">
      <c r="A3" s="18" t="s">
        <v>124</v>
      </c>
      <c r="B3" s="18" t="s">
        <v>125</v>
      </c>
      <c r="C3" s="18" t="s">
        <v>126</v>
      </c>
      <c r="D3" s="18" t="s">
        <v>127</v>
      </c>
    </row>
    <row r="4" spans="1:4" ht="25.8" customHeight="1" x14ac:dyDescent="0.3">
      <c r="A4" s="21">
        <v>1</v>
      </c>
      <c r="B4" s="14" t="s">
        <v>128</v>
      </c>
      <c r="C4" s="22" t="s">
        <v>133</v>
      </c>
      <c r="D4" s="25">
        <f>(21/21)*100</f>
        <v>100</v>
      </c>
    </row>
    <row r="5" spans="1:4" ht="25.8" customHeight="1" x14ac:dyDescent="0.3">
      <c r="A5" s="21">
        <v>2</v>
      </c>
      <c r="B5" s="14" t="s">
        <v>129</v>
      </c>
      <c r="C5" s="22" t="s">
        <v>134</v>
      </c>
      <c r="D5" s="5">
        <v>0</v>
      </c>
    </row>
    <row r="6" spans="1:4" ht="25.8" customHeight="1" x14ac:dyDescent="0.3">
      <c r="A6" s="21">
        <v>3</v>
      </c>
      <c r="B6" s="14" t="s">
        <v>130</v>
      </c>
      <c r="C6" s="5" t="s">
        <v>135</v>
      </c>
      <c r="D6" s="23">
        <f>(15/21)*100</f>
        <v>71.428571428571431</v>
      </c>
    </row>
    <row r="7" spans="1:4" ht="23.4" customHeight="1" x14ac:dyDescent="0.3">
      <c r="A7" s="21">
        <v>4</v>
      </c>
      <c r="B7" s="14" t="s">
        <v>131</v>
      </c>
      <c r="C7" s="22" t="s">
        <v>136</v>
      </c>
      <c r="D7" s="24">
        <f>(6/21)*100</f>
        <v>28.571428571428569</v>
      </c>
    </row>
    <row r="8" spans="1:4" ht="24" customHeight="1" x14ac:dyDescent="0.3">
      <c r="A8" s="21">
        <v>5</v>
      </c>
      <c r="B8" s="14" t="s">
        <v>132</v>
      </c>
      <c r="C8" s="22" t="s">
        <v>137</v>
      </c>
      <c r="D8">
        <v>0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Test_Plan</vt:lpstr>
      <vt:lpstr>Log In</vt:lpstr>
      <vt:lpstr>Bug_Report</vt:lpstr>
      <vt:lpstr>RTM for Aarong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 ily</dc:creator>
  <cp:lastModifiedBy>Sho ily</cp:lastModifiedBy>
  <dcterms:created xsi:type="dcterms:W3CDTF">2026-09-25T13:38:13Z</dcterms:created>
  <dcterms:modified xsi:type="dcterms:W3CDTF">2026-09-29T04:12:14Z</dcterms:modified>
</cp:coreProperties>
</file>